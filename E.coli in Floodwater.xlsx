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ltares-my.sharepoint.com/personal/julia_bleser_deltares_nl/Documents/Documents/"/>
    </mc:Choice>
  </mc:AlternateContent>
  <xr:revisionPtr revIDLastSave="0" documentId="8_{E42A92E8-9D1A-440E-8D0D-5A93054EFB01}" xr6:coauthVersionLast="47" xr6:coauthVersionMax="47" xr10:uidLastSave="{00000000-0000-0000-0000-000000000000}"/>
  <bookViews>
    <workbookView xWindow="-108" yWindow="-108" windowWidth="23256" windowHeight="12456" xr2:uid="{09AD34BD-1E56-4CDE-B689-27DFEE84D1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L7" i="1"/>
  <c r="K7" i="1"/>
  <c r="L6" i="1"/>
  <c r="K6" i="1"/>
  <c r="L5" i="1"/>
  <c r="K5" i="1"/>
  <c r="L4" i="1"/>
  <c r="K4" i="1"/>
  <c r="K3" i="1"/>
</calcChain>
</file>

<file path=xl/sharedStrings.xml><?xml version="1.0" encoding="utf-8"?>
<sst xmlns="http://schemas.openxmlformats.org/spreadsheetml/2006/main" count="70" uniqueCount="50">
  <si>
    <t>E.coli in Floodwater</t>
  </si>
  <si>
    <t>Source</t>
  </si>
  <si>
    <t>Year</t>
  </si>
  <si>
    <t>Country</t>
  </si>
  <si>
    <t>Water type</t>
  </si>
  <si>
    <t>Floodtype</t>
  </si>
  <si>
    <t>Sanitation coverage</t>
  </si>
  <si>
    <t>Socio economic status</t>
  </si>
  <si>
    <t>Name</t>
  </si>
  <si>
    <t>Population density/km²</t>
  </si>
  <si>
    <t>Popdens class</t>
  </si>
  <si>
    <t>E.coli concentration min</t>
  </si>
  <si>
    <t>E.coli concentration max</t>
  </si>
  <si>
    <t>Unit</t>
  </si>
  <si>
    <t>Phanuwan et al</t>
  </si>
  <si>
    <t>Indonesia</t>
  </si>
  <si>
    <t>Floodwater</t>
  </si>
  <si>
    <t>River</t>
  </si>
  <si>
    <t>Slum village</t>
  </si>
  <si>
    <t>Jakarta</t>
  </si>
  <si>
    <t>CFU/mL</t>
  </si>
  <si>
    <t>Mark et al</t>
  </si>
  <si>
    <t>Bangladesh</t>
  </si>
  <si>
    <t>Sewer, pluvial</t>
  </si>
  <si>
    <t>Dhaka</t>
  </si>
  <si>
    <t>MPN/mL</t>
  </si>
  <si>
    <t>ten Veldhuis</t>
  </si>
  <si>
    <t>Netherlands</t>
  </si>
  <si>
    <t xml:space="preserve">Sewer </t>
  </si>
  <si>
    <t>.</t>
  </si>
  <si>
    <t>Utrecht</t>
  </si>
  <si>
    <t>CFU/100mL</t>
  </si>
  <si>
    <t>Katukiza et al</t>
  </si>
  <si>
    <t>Uganda</t>
  </si>
  <si>
    <t>Open storm drainage channel</t>
  </si>
  <si>
    <t>poor</t>
  </si>
  <si>
    <t xml:space="preserve">Slum  </t>
  </si>
  <si>
    <t>Kampala</t>
  </si>
  <si>
    <t>&gt;250/ha</t>
  </si>
  <si>
    <t>high</t>
  </si>
  <si>
    <t>Open grey water tertiary drain</t>
  </si>
  <si>
    <t>Nguyen et al</t>
  </si>
  <si>
    <t>Vietnam</t>
  </si>
  <si>
    <t>Fluvial and sewage</t>
  </si>
  <si>
    <t xml:space="preserve">Can Tho </t>
  </si>
  <si>
    <t>very high</t>
  </si>
  <si>
    <t>MPN/100mL</t>
  </si>
  <si>
    <t>Sterk et al</t>
  </si>
  <si>
    <t>Urban</t>
  </si>
  <si>
    <t>Den Haag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</si>
</sst>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5F8E-940B-4FC1-8A67-9646ABB7EDA6}">
  <dimension ref="A1:M10"/>
  <sheetViews>
    <sheetView tabSelected="1" workbookViewId="0">
      <selection sqref="A1:M10"/>
    </sheetView>
  </sheetViews>
  <sheetFormatPr defaultRowHeight="14.4" x14ac:dyDescent="0.3"/>
  <sheetData>
    <row r="1" spans="1:13" x14ac:dyDescent="0.3">
      <c r="A1" t="s">
        <v>0</v>
      </c>
    </row>
    <row r="2" spans="1:13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 t="s">
        <v>13</v>
      </c>
    </row>
    <row r="3" spans="1:13" x14ac:dyDescent="0.3">
      <c r="A3" s="4" t="s">
        <v>14</v>
      </c>
      <c r="B3" s="5">
        <v>2006</v>
      </c>
      <c r="C3" s="5" t="s">
        <v>15</v>
      </c>
      <c r="D3" s="5" t="s">
        <v>16</v>
      </c>
      <c r="E3" s="5" t="s">
        <v>17</v>
      </c>
      <c r="F3" s="5"/>
      <c r="G3" s="5" t="s">
        <v>18</v>
      </c>
      <c r="H3" s="5" t="s">
        <v>19</v>
      </c>
      <c r="I3" s="5"/>
      <c r="J3" s="5"/>
      <c r="K3" s="5">
        <f>24*10^3</f>
        <v>24000</v>
      </c>
      <c r="L3" s="5"/>
      <c r="M3" s="6" t="s">
        <v>20</v>
      </c>
    </row>
    <row r="4" spans="1:13" x14ac:dyDescent="0.3">
      <c r="A4" s="4" t="s">
        <v>21</v>
      </c>
      <c r="B4" s="5">
        <v>2018</v>
      </c>
      <c r="C4" s="5" t="s">
        <v>22</v>
      </c>
      <c r="D4" s="5" t="s">
        <v>16</v>
      </c>
      <c r="E4" s="5" t="s">
        <v>23</v>
      </c>
      <c r="F4" s="5"/>
      <c r="G4" s="5"/>
      <c r="H4" s="5" t="s">
        <v>24</v>
      </c>
      <c r="I4" s="5"/>
      <c r="J4" s="5"/>
      <c r="K4" s="5">
        <f>10^6/100</f>
        <v>10000</v>
      </c>
      <c r="L4" s="5">
        <f>10^8/100</f>
        <v>1000000</v>
      </c>
      <c r="M4" s="6" t="s">
        <v>25</v>
      </c>
    </row>
    <row r="5" spans="1:13" x14ac:dyDescent="0.3">
      <c r="A5" s="4" t="s">
        <v>26</v>
      </c>
      <c r="B5" s="5">
        <v>2010</v>
      </c>
      <c r="C5" s="5" t="s">
        <v>27</v>
      </c>
      <c r="D5" s="5" t="s">
        <v>16</v>
      </c>
      <c r="E5" s="5" t="s">
        <v>28</v>
      </c>
      <c r="F5" s="5"/>
      <c r="G5" s="5" t="s">
        <v>29</v>
      </c>
      <c r="H5" s="5" t="s">
        <v>30</v>
      </c>
      <c r="I5" s="5"/>
      <c r="J5" s="5"/>
      <c r="K5" s="5">
        <f>87*10^3</f>
        <v>87000</v>
      </c>
      <c r="L5" s="5">
        <f>1.08*10^7</f>
        <v>10800000</v>
      </c>
      <c r="M5" s="6" t="s">
        <v>31</v>
      </c>
    </row>
    <row r="6" spans="1:13" x14ac:dyDescent="0.3">
      <c r="A6" s="4" t="s">
        <v>32</v>
      </c>
      <c r="B6" s="5">
        <v>2014</v>
      </c>
      <c r="C6" s="5" t="s">
        <v>33</v>
      </c>
      <c r="D6" s="5" t="s">
        <v>16</v>
      </c>
      <c r="E6" s="5" t="s">
        <v>34</v>
      </c>
      <c r="F6" s="5" t="s">
        <v>35</v>
      </c>
      <c r="G6" s="5" t="s">
        <v>36</v>
      </c>
      <c r="H6" s="5" t="s">
        <v>37</v>
      </c>
      <c r="I6" s="5" t="s">
        <v>38</v>
      </c>
      <c r="J6" s="5" t="s">
        <v>39</v>
      </c>
      <c r="K6" s="5">
        <f>10^6.6</f>
        <v>3981071.705534976</v>
      </c>
      <c r="L6" s="5">
        <f>10^6.9</f>
        <v>7943282.3472428275</v>
      </c>
      <c r="M6" s="6" t="s">
        <v>31</v>
      </c>
    </row>
    <row r="7" spans="1:13" x14ac:dyDescent="0.3">
      <c r="A7" s="4" t="s">
        <v>32</v>
      </c>
      <c r="B7" s="5">
        <v>2014</v>
      </c>
      <c r="C7" s="5" t="s">
        <v>33</v>
      </c>
      <c r="D7" s="5" t="s">
        <v>16</v>
      </c>
      <c r="E7" s="5" t="s">
        <v>40</v>
      </c>
      <c r="F7" s="5"/>
      <c r="G7" s="5"/>
      <c r="H7" s="5" t="s">
        <v>37</v>
      </c>
      <c r="I7" s="5"/>
      <c r="J7" s="5"/>
      <c r="K7" s="5">
        <f>10^6.1</f>
        <v>1258925.4117941677</v>
      </c>
      <c r="L7" s="5">
        <f>10^6.9</f>
        <v>7943282.3472428275</v>
      </c>
      <c r="M7" s="6" t="s">
        <v>31</v>
      </c>
    </row>
    <row r="8" spans="1:13" x14ac:dyDescent="0.3">
      <c r="A8" s="4" t="s">
        <v>41</v>
      </c>
      <c r="B8" s="5">
        <v>2016</v>
      </c>
      <c r="C8" s="5" t="s">
        <v>42</v>
      </c>
      <c r="D8" s="5" t="s">
        <v>16</v>
      </c>
      <c r="E8" s="5" t="s">
        <v>43</v>
      </c>
      <c r="F8" s="5"/>
      <c r="G8" s="5"/>
      <c r="H8" s="5" t="s">
        <v>44</v>
      </c>
      <c r="I8" s="5"/>
      <c r="J8" s="5" t="s">
        <v>45</v>
      </c>
      <c r="K8" s="5">
        <f>1.84*10^4</f>
        <v>18400</v>
      </c>
      <c r="L8" s="5"/>
      <c r="M8" s="6" t="s">
        <v>46</v>
      </c>
    </row>
    <row r="9" spans="1:13" x14ac:dyDescent="0.3">
      <c r="A9" s="4" t="s">
        <v>41</v>
      </c>
      <c r="B9" s="5">
        <v>2014</v>
      </c>
      <c r="C9" s="5" t="s">
        <v>42</v>
      </c>
      <c r="D9" s="5" t="s">
        <v>16</v>
      </c>
      <c r="E9" s="5" t="s">
        <v>43</v>
      </c>
      <c r="F9" s="5"/>
      <c r="G9" s="5"/>
      <c r="H9" s="5" t="s">
        <v>44</v>
      </c>
      <c r="I9" s="5"/>
      <c r="J9" s="5" t="s">
        <v>45</v>
      </c>
      <c r="K9" s="5">
        <v>1600</v>
      </c>
      <c r="L9" s="5">
        <v>70000</v>
      </c>
      <c r="M9" s="6" t="s">
        <v>46</v>
      </c>
    </row>
    <row r="10" spans="1:13" x14ac:dyDescent="0.3">
      <c r="A10" s="7" t="s">
        <v>47</v>
      </c>
      <c r="B10" s="8">
        <v>2008</v>
      </c>
      <c r="C10" s="8" t="s">
        <v>27</v>
      </c>
      <c r="D10" s="8" t="s">
        <v>16</v>
      </c>
      <c r="E10" s="8" t="s">
        <v>48</v>
      </c>
      <c r="F10" s="8"/>
      <c r="G10" s="8"/>
      <c r="H10" s="8" t="s">
        <v>49</v>
      </c>
      <c r="I10" s="8"/>
      <c r="J10" s="8"/>
      <c r="K10" s="8">
        <v>87</v>
      </c>
      <c r="L10" s="8">
        <v>1000</v>
      </c>
      <c r="M10" s="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Bleser</dc:creator>
  <cp:lastModifiedBy>Julia Bleser</cp:lastModifiedBy>
  <dcterms:created xsi:type="dcterms:W3CDTF">2026-01-24T20:24:57Z</dcterms:created>
  <dcterms:modified xsi:type="dcterms:W3CDTF">2026-01-24T20:25:15Z</dcterms:modified>
</cp:coreProperties>
</file>